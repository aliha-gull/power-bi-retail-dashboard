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Inventory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<sst xmlns="http://schemas.openxmlformats.org/spreadsheetml/2006/main" count="244" uniqueCount="101">
  <si>
    <t xml:space="preserve">Product ID</t>
  </si>
  <si>
    <t xml:space="preserve">Product Name</t>
  </si>
  <si>
    <t xml:space="preserve">Category</t>
  </si>
  <si>
    <t xml:space="preserve">Sub Category</t>
  </si>
  <si>
    <t xml:space="preserve">Unit Cost</t>
  </si>
  <si>
    <t xml:space="preserve">Unit Price</t>
  </si>
  <si>
    <t xml:space="preserve">Profit Per Unit</t>
  </si>
  <si>
    <t xml:space="preserve">Stock Quantity</t>
  </si>
  <si>
    <t xml:space="preserve">Reorder Level</t>
  </si>
  <si>
    <t xml:space="preserve">Supplier</t>
  </si>
  <si>
    <t xml:space="preserve">Weight kg</t>
  </si>
  <si>
    <t xml:space="preserve">Is Active</t>
  </si>
  <si>
    <t xml:space="preserve">PROD-1000</t>
  </si>
  <si>
    <t xml:space="preserve">Laptop</t>
  </si>
  <si>
    <t xml:space="preserve">Electronics</t>
  </si>
  <si>
    <t xml:space="preserve">SupplierB</t>
  </si>
  <si>
    <t xml:space="preserve">Yes</t>
  </si>
  <si>
    <t xml:space="preserve">PROD-1001</t>
  </si>
  <si>
    <t xml:space="preserve">Smartphone</t>
  </si>
  <si>
    <t xml:space="preserve">SupplierD</t>
  </si>
  <si>
    <t xml:space="preserve">PROD-1002</t>
  </si>
  <si>
    <t xml:space="preserve">Tablet</t>
  </si>
  <si>
    <t xml:space="preserve">No</t>
  </si>
  <si>
    <t xml:space="preserve">PROD-1003</t>
  </si>
  <si>
    <t xml:space="preserve">Headphones</t>
  </si>
  <si>
    <t xml:space="preserve">PROD-1004</t>
  </si>
  <si>
    <t xml:space="preserve">Smartwatch</t>
  </si>
  <si>
    <t xml:space="preserve">SupplierA</t>
  </si>
  <si>
    <t xml:space="preserve">PROD-1005</t>
  </si>
  <si>
    <t xml:space="preserve">Camera</t>
  </si>
  <si>
    <t xml:space="preserve">PROD-1006</t>
  </si>
  <si>
    <t xml:space="preserve">Speaker</t>
  </si>
  <si>
    <t xml:space="preserve">SupplierC</t>
  </si>
  <si>
    <t xml:space="preserve">PROD-1007</t>
  </si>
  <si>
    <t xml:space="preserve">Monitor</t>
  </si>
  <si>
    <t xml:space="preserve">PROD-1008</t>
  </si>
  <si>
    <t xml:space="preserve">T-Shirt</t>
  </si>
  <si>
    <t xml:space="preserve">Clothing</t>
  </si>
  <si>
    <t xml:space="preserve">PROD-1009</t>
  </si>
  <si>
    <t xml:space="preserve">Jeans</t>
  </si>
  <si>
    <t xml:space="preserve">PROD-1010</t>
  </si>
  <si>
    <t xml:space="preserve">Jacket</t>
  </si>
  <si>
    <t xml:space="preserve">PROD-1011</t>
  </si>
  <si>
    <t xml:space="preserve">Dress</t>
  </si>
  <si>
    <t xml:space="preserve">PROD-1012</t>
  </si>
  <si>
    <t xml:space="preserve">Shoes</t>
  </si>
  <si>
    <t xml:space="preserve">PROD-1013</t>
  </si>
  <si>
    <t xml:space="preserve">Hoodie</t>
  </si>
  <si>
    <t xml:space="preserve">PROD-1014</t>
  </si>
  <si>
    <t xml:space="preserve">Suit</t>
  </si>
  <si>
    <t xml:space="preserve">PROD-1015</t>
  </si>
  <si>
    <t xml:space="preserve">Shorts</t>
  </si>
  <si>
    <t xml:space="preserve">PROD-1016</t>
  </si>
  <si>
    <t xml:space="preserve">Sofa</t>
  </si>
  <si>
    <t xml:space="preserve">Home &amp; Garden</t>
  </si>
  <si>
    <t xml:space="preserve">PROD-1017</t>
  </si>
  <si>
    <t xml:space="preserve">Coffee Table</t>
  </si>
  <si>
    <t xml:space="preserve">PROD-1018</t>
  </si>
  <si>
    <t xml:space="preserve">Lamp</t>
  </si>
  <si>
    <t xml:space="preserve">PROD-1019</t>
  </si>
  <si>
    <t xml:space="preserve">Curtains</t>
  </si>
  <si>
    <t xml:space="preserve">PROD-1020</t>
  </si>
  <si>
    <t xml:space="preserve">Rug</t>
  </si>
  <si>
    <t xml:space="preserve">PROD-1021</t>
  </si>
  <si>
    <t xml:space="preserve">Bookshelf</t>
  </si>
  <si>
    <t xml:space="preserve">PROD-1022</t>
  </si>
  <si>
    <t xml:space="preserve">Mirror</t>
  </si>
  <si>
    <t xml:space="preserve">PROD-1023</t>
  </si>
  <si>
    <t xml:space="preserve">Plant Pot</t>
  </si>
  <si>
    <t xml:space="preserve">PROD-1024</t>
  </si>
  <si>
    <t xml:space="preserve">Yoga Mat</t>
  </si>
  <si>
    <t xml:space="preserve">Sports</t>
  </si>
  <si>
    <t xml:space="preserve">PROD-1025</t>
  </si>
  <si>
    <t xml:space="preserve">Dumbbells</t>
  </si>
  <si>
    <t xml:space="preserve">PROD-1026</t>
  </si>
  <si>
    <t xml:space="preserve">Running Shoes</t>
  </si>
  <si>
    <t xml:space="preserve">PROD-1027</t>
  </si>
  <si>
    <t xml:space="preserve">Bicycle</t>
  </si>
  <si>
    <t xml:space="preserve">PROD-1028</t>
  </si>
  <si>
    <t xml:space="preserve">Tennis Racket</t>
  </si>
  <si>
    <t xml:space="preserve">PROD-1029</t>
  </si>
  <si>
    <t xml:space="preserve">Football</t>
  </si>
  <si>
    <t xml:space="preserve">PROD-1030</t>
  </si>
  <si>
    <t xml:space="preserve">Swimwear</t>
  </si>
  <si>
    <t xml:space="preserve">PROD-1031</t>
  </si>
  <si>
    <t xml:space="preserve">Coffee Beans</t>
  </si>
  <si>
    <t xml:space="preserve">Food &amp; Grocery</t>
  </si>
  <si>
    <t xml:space="preserve">PROD-1032</t>
  </si>
  <si>
    <t xml:space="preserve">Olive Oil</t>
  </si>
  <si>
    <t xml:space="preserve">PROD-1033</t>
  </si>
  <si>
    <t xml:space="preserve">Protein Powder</t>
  </si>
  <si>
    <t xml:space="preserve">PROD-1034</t>
  </si>
  <si>
    <t xml:space="preserve">Tea Set</t>
  </si>
  <si>
    <t xml:space="preserve">PROD-1035</t>
  </si>
  <si>
    <t xml:space="preserve">Spice Kit</t>
  </si>
  <si>
    <t xml:space="preserve">PROD-1036</t>
  </si>
  <si>
    <t xml:space="preserve">Organic Honey</t>
  </si>
  <si>
    <t xml:space="preserve">Total Products</t>
  </si>
  <si>
    <t xml:space="preserve">Avg Price</t>
  </si>
  <si>
    <t xml:space="preserve">Total Stock</t>
  </si>
  <si>
    <t xml:space="preserve">Low Stock Items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</si>
</sst>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14</v>
      </c>
      <c r="E2" s="3" t="n">
        <v>323.32</v>
      </c>
      <c r="F2" s="3" t="n">
        <v>430.02</v>
      </c>
      <c r="G2" s="3" t="n">
        <v>106.7</v>
      </c>
      <c r="H2" s="2" t="n">
        <v>160</v>
      </c>
      <c r="I2" s="2" t="n">
        <v>25</v>
      </c>
      <c r="J2" s="2" t="s">
        <v>15</v>
      </c>
      <c r="K2" s="2" t="n">
        <v>2.88</v>
      </c>
      <c r="L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14</v>
      </c>
      <c r="D3" s="2" t="s">
        <v>14</v>
      </c>
      <c r="E3" s="3" t="n">
        <v>341.58</v>
      </c>
      <c r="F3" s="3" t="n">
        <v>809.75</v>
      </c>
      <c r="G3" s="3" t="n">
        <v>468.17</v>
      </c>
      <c r="H3" s="2" t="n">
        <v>64</v>
      </c>
      <c r="I3" s="2" t="n">
        <v>47</v>
      </c>
      <c r="J3" s="2" t="s">
        <v>19</v>
      </c>
      <c r="K3" s="2" t="n">
        <v>0.73</v>
      </c>
      <c r="L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14</v>
      </c>
      <c r="D4" s="2" t="s">
        <v>14</v>
      </c>
      <c r="E4" s="3" t="n">
        <v>117.13</v>
      </c>
      <c r="F4" s="3" t="n">
        <v>223.3</v>
      </c>
      <c r="G4" s="3" t="n">
        <v>106.17</v>
      </c>
      <c r="H4" s="2" t="n">
        <v>33</v>
      </c>
      <c r="I4" s="2" t="n">
        <v>45</v>
      </c>
      <c r="J4" s="2" t="s">
        <v>15</v>
      </c>
      <c r="K4" s="2" t="n">
        <v>14.35</v>
      </c>
      <c r="L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14</v>
      </c>
      <c r="D5" s="2" t="s">
        <v>14</v>
      </c>
      <c r="E5" s="3" t="n">
        <v>118.02</v>
      </c>
      <c r="F5" s="3" t="n">
        <v>236.88</v>
      </c>
      <c r="G5" s="3" t="n">
        <v>118.86</v>
      </c>
      <c r="H5" s="2" t="n">
        <v>434</v>
      </c>
      <c r="I5" s="2" t="n">
        <v>10</v>
      </c>
      <c r="J5" s="2" t="s">
        <v>15</v>
      </c>
      <c r="K5" s="2" t="n">
        <v>13.99</v>
      </c>
      <c r="L5" s="2" t="s">
        <v>16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14</v>
      </c>
      <c r="D6" s="2" t="s">
        <v>14</v>
      </c>
      <c r="E6" s="3" t="n">
        <v>146.16</v>
      </c>
      <c r="F6" s="3" t="n">
        <v>227.77</v>
      </c>
      <c r="G6" s="3" t="n">
        <v>81.61</v>
      </c>
      <c r="H6" s="2" t="n">
        <v>410</v>
      </c>
      <c r="I6" s="2" t="n">
        <v>31</v>
      </c>
      <c r="J6" s="2" t="s">
        <v>27</v>
      </c>
      <c r="K6" s="2" t="n">
        <v>1.95</v>
      </c>
      <c r="L6" s="2" t="s">
        <v>16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14</v>
      </c>
      <c r="D7" s="2" t="s">
        <v>14</v>
      </c>
      <c r="E7" s="3" t="n">
        <v>185.9</v>
      </c>
      <c r="F7" s="3" t="n">
        <v>318.4</v>
      </c>
      <c r="G7" s="3" t="n">
        <v>132.5</v>
      </c>
      <c r="H7" s="2" t="n">
        <v>155</v>
      </c>
      <c r="I7" s="2" t="n">
        <v>12</v>
      </c>
      <c r="J7" s="2" t="s">
        <v>19</v>
      </c>
      <c r="K7" s="2" t="n">
        <v>10.77</v>
      </c>
      <c r="L7" s="2" t="s">
        <v>22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14</v>
      </c>
      <c r="D8" s="2" t="s">
        <v>14</v>
      </c>
      <c r="E8" s="3" t="n">
        <v>48.61</v>
      </c>
      <c r="F8" s="3" t="n">
        <v>80.29</v>
      </c>
      <c r="G8" s="3" t="n">
        <v>31.68</v>
      </c>
      <c r="H8" s="2" t="n">
        <v>341</v>
      </c>
      <c r="I8" s="2" t="n">
        <v>49</v>
      </c>
      <c r="J8" s="2" t="s">
        <v>32</v>
      </c>
      <c r="K8" s="2" t="n">
        <v>11.59</v>
      </c>
      <c r="L8" s="2" t="s">
        <v>16</v>
      </c>
    </row>
    <row r="9" customFormat="false" ht="15" hidden="false" customHeight="false" outlineLevel="0" collapsed="false">
      <c r="A9" s="2" t="s">
        <v>33</v>
      </c>
      <c r="B9" s="2" t="s">
        <v>34</v>
      </c>
      <c r="C9" s="2" t="s">
        <v>14</v>
      </c>
      <c r="D9" s="2" t="s">
        <v>14</v>
      </c>
      <c r="E9" s="3" t="n">
        <v>32.45</v>
      </c>
      <c r="F9" s="3" t="n">
        <v>51.06</v>
      </c>
      <c r="G9" s="3" t="n">
        <v>18.61</v>
      </c>
      <c r="H9" s="2" t="n">
        <v>168</v>
      </c>
      <c r="I9" s="2" t="n">
        <v>15</v>
      </c>
      <c r="J9" s="2" t="s">
        <v>15</v>
      </c>
      <c r="K9" s="2" t="n">
        <v>17.34</v>
      </c>
      <c r="L9" s="2" t="s">
        <v>22</v>
      </c>
    </row>
    <row r="10" customFormat="false" ht="15" hidden="false" customHeight="false" outlineLevel="0" collapsed="false">
      <c r="A10" s="2" t="s">
        <v>35</v>
      </c>
      <c r="B10" s="2" t="s">
        <v>36</v>
      </c>
      <c r="C10" s="2" t="s">
        <v>37</v>
      </c>
      <c r="D10" s="2" t="s">
        <v>37</v>
      </c>
      <c r="E10" s="3" t="n">
        <v>146.21</v>
      </c>
      <c r="F10" s="3" t="n">
        <v>301.61</v>
      </c>
      <c r="G10" s="3" t="n">
        <v>155.4</v>
      </c>
      <c r="H10" s="2" t="n">
        <v>206</v>
      </c>
      <c r="I10" s="2" t="n">
        <v>20</v>
      </c>
      <c r="J10" s="2" t="s">
        <v>32</v>
      </c>
      <c r="K10" s="2" t="n">
        <v>7.17</v>
      </c>
      <c r="L10" s="2" t="s">
        <v>16</v>
      </c>
    </row>
    <row r="11" customFormat="false" ht="15" hidden="false" customHeight="false" outlineLevel="0" collapsed="false">
      <c r="A11" s="2" t="s">
        <v>38</v>
      </c>
      <c r="B11" s="2" t="s">
        <v>39</v>
      </c>
      <c r="C11" s="2" t="s">
        <v>37</v>
      </c>
      <c r="D11" s="2" t="s">
        <v>37</v>
      </c>
      <c r="E11" s="3" t="n">
        <v>353.89</v>
      </c>
      <c r="F11" s="3" t="n">
        <v>750.34</v>
      </c>
      <c r="G11" s="3" t="n">
        <v>396.45</v>
      </c>
      <c r="H11" s="2" t="n">
        <v>56</v>
      </c>
      <c r="I11" s="2" t="n">
        <v>48</v>
      </c>
      <c r="J11" s="2" t="s">
        <v>15</v>
      </c>
      <c r="K11" s="2" t="n">
        <v>10.73</v>
      </c>
      <c r="L11" s="2" t="s">
        <v>16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37</v>
      </c>
      <c r="D12" s="2" t="s">
        <v>37</v>
      </c>
      <c r="E12" s="3" t="n">
        <v>90.07</v>
      </c>
      <c r="F12" s="3" t="n">
        <v>158.1</v>
      </c>
      <c r="G12" s="3" t="n">
        <v>68.03</v>
      </c>
      <c r="H12" s="2" t="n">
        <v>493</v>
      </c>
      <c r="I12" s="2" t="n">
        <v>50</v>
      </c>
      <c r="J12" s="2" t="s">
        <v>15</v>
      </c>
      <c r="K12" s="2" t="n">
        <v>13.72</v>
      </c>
      <c r="L12" s="2" t="s">
        <v>16</v>
      </c>
    </row>
    <row r="13" customFormat="false" ht="15" hidden="false" customHeight="false" outlineLevel="0" collapsed="false">
      <c r="A13" s="2" t="s">
        <v>42</v>
      </c>
      <c r="B13" s="2" t="s">
        <v>43</v>
      </c>
      <c r="C13" s="2" t="s">
        <v>37</v>
      </c>
      <c r="D13" s="2" t="s">
        <v>37</v>
      </c>
      <c r="E13" s="3" t="n">
        <v>122.23</v>
      </c>
      <c r="F13" s="3" t="n">
        <v>163.61</v>
      </c>
      <c r="G13" s="3" t="n">
        <v>41.38</v>
      </c>
      <c r="H13" s="2" t="n">
        <v>181</v>
      </c>
      <c r="I13" s="2" t="n">
        <v>35</v>
      </c>
      <c r="J13" s="2" t="s">
        <v>32</v>
      </c>
      <c r="K13" s="2" t="n">
        <v>1.42</v>
      </c>
      <c r="L13" s="2" t="s">
        <v>16</v>
      </c>
    </row>
    <row r="14" customFormat="false" ht="15" hidden="false" customHeight="false" outlineLevel="0" collapsed="false">
      <c r="A14" s="2" t="s">
        <v>44</v>
      </c>
      <c r="B14" s="2" t="s">
        <v>45</v>
      </c>
      <c r="C14" s="2" t="s">
        <v>37</v>
      </c>
      <c r="D14" s="2" t="s">
        <v>37</v>
      </c>
      <c r="E14" s="3" t="n">
        <v>114.19</v>
      </c>
      <c r="F14" s="3" t="n">
        <v>216.86</v>
      </c>
      <c r="G14" s="3" t="n">
        <v>102.67</v>
      </c>
      <c r="H14" s="2" t="n">
        <v>472</v>
      </c>
      <c r="I14" s="2" t="n">
        <v>39</v>
      </c>
      <c r="J14" s="2" t="s">
        <v>15</v>
      </c>
      <c r="K14" s="2" t="n">
        <v>5.37</v>
      </c>
      <c r="L14" s="2" t="s">
        <v>16</v>
      </c>
    </row>
    <row r="15" customFormat="false" ht="15" hidden="false" customHeight="false" outlineLevel="0" collapsed="false">
      <c r="A15" s="2" t="s">
        <v>46</v>
      </c>
      <c r="B15" s="2" t="s">
        <v>47</v>
      </c>
      <c r="C15" s="2" t="s">
        <v>37</v>
      </c>
      <c r="D15" s="2" t="s">
        <v>37</v>
      </c>
      <c r="E15" s="3" t="n">
        <v>375.04</v>
      </c>
      <c r="F15" s="3" t="n">
        <v>730.12</v>
      </c>
      <c r="G15" s="3" t="n">
        <v>355.08</v>
      </c>
      <c r="H15" s="2" t="n">
        <v>402</v>
      </c>
      <c r="I15" s="2" t="n">
        <v>47</v>
      </c>
      <c r="J15" s="2" t="s">
        <v>19</v>
      </c>
      <c r="K15" s="2" t="n">
        <v>17.97</v>
      </c>
      <c r="L15" s="2" t="s">
        <v>22</v>
      </c>
    </row>
    <row r="16" customFormat="false" ht="15" hidden="false" customHeight="false" outlineLevel="0" collapsed="false">
      <c r="A16" s="2" t="s">
        <v>48</v>
      </c>
      <c r="B16" s="2" t="s">
        <v>49</v>
      </c>
      <c r="C16" s="2" t="s">
        <v>37</v>
      </c>
      <c r="D16" s="2" t="s">
        <v>37</v>
      </c>
      <c r="E16" s="3" t="n">
        <v>187.38</v>
      </c>
      <c r="F16" s="3" t="n">
        <v>467.85</v>
      </c>
      <c r="G16" s="3" t="n">
        <v>280.47</v>
      </c>
      <c r="H16" s="2" t="n">
        <v>90</v>
      </c>
      <c r="I16" s="2" t="n">
        <v>42</v>
      </c>
      <c r="J16" s="2" t="s">
        <v>19</v>
      </c>
      <c r="K16" s="2" t="n">
        <v>1.91</v>
      </c>
      <c r="L16" s="2" t="s">
        <v>16</v>
      </c>
    </row>
    <row r="17" customFormat="false" ht="15" hidden="false" customHeight="false" outlineLevel="0" collapsed="false">
      <c r="A17" s="2" t="s">
        <v>50</v>
      </c>
      <c r="B17" s="2" t="s">
        <v>51</v>
      </c>
      <c r="C17" s="2" t="s">
        <v>37</v>
      </c>
      <c r="D17" s="2" t="s">
        <v>37</v>
      </c>
      <c r="E17" s="3" t="n">
        <v>431.94</v>
      </c>
      <c r="F17" s="3" t="n">
        <v>640.74</v>
      </c>
      <c r="G17" s="3" t="n">
        <v>208.8</v>
      </c>
      <c r="H17" s="2" t="n">
        <v>101</v>
      </c>
      <c r="I17" s="2" t="n">
        <v>37</v>
      </c>
      <c r="J17" s="2" t="s">
        <v>27</v>
      </c>
      <c r="K17" s="2" t="n">
        <v>7.76</v>
      </c>
      <c r="L17" s="2" t="s">
        <v>22</v>
      </c>
    </row>
    <row r="18" customFormat="false" ht="15" hidden="false" customHeight="false" outlineLevel="0" collapsed="false">
      <c r="A18" s="2" t="s">
        <v>52</v>
      </c>
      <c r="B18" s="2" t="s">
        <v>53</v>
      </c>
      <c r="C18" s="2" t="s">
        <v>54</v>
      </c>
      <c r="D18" s="2" t="s">
        <v>54</v>
      </c>
      <c r="E18" s="3" t="n">
        <v>269.27</v>
      </c>
      <c r="F18" s="3" t="n">
        <v>663.83</v>
      </c>
      <c r="G18" s="3" t="n">
        <v>394.56</v>
      </c>
      <c r="H18" s="2" t="n">
        <v>460</v>
      </c>
      <c r="I18" s="2" t="n">
        <v>10</v>
      </c>
      <c r="J18" s="2" t="s">
        <v>27</v>
      </c>
      <c r="K18" s="2" t="n">
        <v>13.67</v>
      </c>
      <c r="L18" s="2" t="s">
        <v>16</v>
      </c>
    </row>
    <row r="19" customFormat="false" ht="15" hidden="false" customHeight="false" outlineLevel="0" collapsed="false">
      <c r="A19" s="2" t="s">
        <v>55</v>
      </c>
      <c r="B19" s="2" t="s">
        <v>56</v>
      </c>
      <c r="C19" s="2" t="s">
        <v>54</v>
      </c>
      <c r="D19" s="2" t="s">
        <v>54</v>
      </c>
      <c r="E19" s="3" t="n">
        <v>386.61</v>
      </c>
      <c r="F19" s="3" t="n">
        <v>660.41</v>
      </c>
      <c r="G19" s="3" t="n">
        <v>273.8</v>
      </c>
      <c r="H19" s="2" t="n">
        <v>170</v>
      </c>
      <c r="I19" s="2" t="n">
        <v>37</v>
      </c>
      <c r="J19" s="2" t="s">
        <v>15</v>
      </c>
      <c r="K19" s="2" t="n">
        <v>9.13</v>
      </c>
      <c r="L19" s="2" t="s">
        <v>16</v>
      </c>
    </row>
    <row r="20" customFormat="false" ht="15" hidden="false" customHeight="false" outlineLevel="0" collapsed="false">
      <c r="A20" s="2" t="s">
        <v>57</v>
      </c>
      <c r="B20" s="2" t="s">
        <v>58</v>
      </c>
      <c r="C20" s="2" t="s">
        <v>54</v>
      </c>
      <c r="D20" s="2" t="s">
        <v>54</v>
      </c>
      <c r="E20" s="3" t="n">
        <v>486.23</v>
      </c>
      <c r="F20" s="3" t="n">
        <v>1076.69</v>
      </c>
      <c r="G20" s="3" t="n">
        <v>590.46</v>
      </c>
      <c r="H20" s="2" t="n">
        <v>279</v>
      </c>
      <c r="I20" s="2" t="n">
        <v>16</v>
      </c>
      <c r="J20" s="2" t="s">
        <v>32</v>
      </c>
      <c r="K20" s="2" t="n">
        <v>16.85</v>
      </c>
      <c r="L20" s="2" t="s">
        <v>16</v>
      </c>
    </row>
    <row r="21" customFormat="false" ht="15" hidden="false" customHeight="false" outlineLevel="0" collapsed="false">
      <c r="A21" s="2" t="s">
        <v>59</v>
      </c>
      <c r="B21" s="2" t="s">
        <v>60</v>
      </c>
      <c r="C21" s="2" t="s">
        <v>54</v>
      </c>
      <c r="D21" s="2" t="s">
        <v>54</v>
      </c>
      <c r="E21" s="3" t="n">
        <v>84.89</v>
      </c>
      <c r="F21" s="3" t="n">
        <v>188.03</v>
      </c>
      <c r="G21" s="3" t="n">
        <v>103.14</v>
      </c>
      <c r="H21" s="2" t="n">
        <v>296</v>
      </c>
      <c r="I21" s="2" t="n">
        <v>43</v>
      </c>
      <c r="J21" s="2" t="s">
        <v>27</v>
      </c>
      <c r="K21" s="2" t="n">
        <v>12.02</v>
      </c>
      <c r="L21" s="2" t="s">
        <v>22</v>
      </c>
    </row>
    <row r="22" customFormat="false" ht="15" hidden="false" customHeight="false" outlineLevel="0" collapsed="false">
      <c r="A22" s="2" t="s">
        <v>61</v>
      </c>
      <c r="B22" s="2" t="s">
        <v>62</v>
      </c>
      <c r="C22" s="2" t="s">
        <v>54</v>
      </c>
      <c r="D22" s="2" t="s">
        <v>54</v>
      </c>
      <c r="E22" s="3" t="n">
        <v>19.54</v>
      </c>
      <c r="F22" s="3" t="n">
        <v>47.19</v>
      </c>
      <c r="G22" s="3" t="n">
        <v>27.65</v>
      </c>
      <c r="H22" s="2" t="n">
        <v>469</v>
      </c>
      <c r="I22" s="2" t="n">
        <v>29</v>
      </c>
      <c r="J22" s="2" t="s">
        <v>15</v>
      </c>
      <c r="K22" s="2" t="n">
        <v>1.25</v>
      </c>
      <c r="L22" s="2" t="s">
        <v>16</v>
      </c>
    </row>
    <row r="23" customFormat="false" ht="15" hidden="false" customHeight="false" outlineLevel="0" collapsed="false">
      <c r="A23" s="2" t="s">
        <v>63</v>
      </c>
      <c r="B23" s="2" t="s">
        <v>64</v>
      </c>
      <c r="C23" s="2" t="s">
        <v>54</v>
      </c>
      <c r="D23" s="2" t="s">
        <v>54</v>
      </c>
      <c r="E23" s="3" t="n">
        <v>51.97</v>
      </c>
      <c r="F23" s="3" t="n">
        <v>97.87</v>
      </c>
      <c r="G23" s="3" t="n">
        <v>45.9</v>
      </c>
      <c r="H23" s="2" t="n">
        <v>55</v>
      </c>
      <c r="I23" s="2" t="n">
        <v>44</v>
      </c>
      <c r="J23" s="2" t="s">
        <v>15</v>
      </c>
      <c r="K23" s="2" t="n">
        <v>2.65</v>
      </c>
      <c r="L23" s="2" t="s">
        <v>22</v>
      </c>
    </row>
    <row r="24" customFormat="false" ht="15" hidden="false" customHeight="false" outlineLevel="0" collapsed="false">
      <c r="A24" s="2" t="s">
        <v>65</v>
      </c>
      <c r="B24" s="2" t="s">
        <v>66</v>
      </c>
      <c r="C24" s="2" t="s">
        <v>54</v>
      </c>
      <c r="D24" s="2" t="s">
        <v>54</v>
      </c>
      <c r="E24" s="3" t="n">
        <v>473.96</v>
      </c>
      <c r="F24" s="3" t="n">
        <v>710.06</v>
      </c>
      <c r="G24" s="3" t="n">
        <v>236.1</v>
      </c>
      <c r="H24" s="2" t="n">
        <v>290</v>
      </c>
      <c r="I24" s="2" t="n">
        <v>48</v>
      </c>
      <c r="J24" s="2" t="s">
        <v>19</v>
      </c>
      <c r="K24" s="2" t="n">
        <v>19.29</v>
      </c>
      <c r="L24" s="2" t="s">
        <v>16</v>
      </c>
    </row>
    <row r="25" customFormat="false" ht="15" hidden="false" customHeight="false" outlineLevel="0" collapsed="false">
      <c r="A25" s="2" t="s">
        <v>67</v>
      </c>
      <c r="B25" s="2" t="s">
        <v>68</v>
      </c>
      <c r="C25" s="2" t="s">
        <v>54</v>
      </c>
      <c r="D25" s="2" t="s">
        <v>54</v>
      </c>
      <c r="E25" s="3" t="n">
        <v>359.34</v>
      </c>
      <c r="F25" s="3" t="n">
        <v>639.19</v>
      </c>
      <c r="G25" s="3" t="n">
        <v>279.85</v>
      </c>
      <c r="H25" s="2" t="n">
        <v>363</v>
      </c>
      <c r="I25" s="2" t="n">
        <v>33</v>
      </c>
      <c r="J25" s="2" t="s">
        <v>19</v>
      </c>
      <c r="K25" s="2" t="n">
        <v>18</v>
      </c>
      <c r="L25" s="2" t="s">
        <v>22</v>
      </c>
    </row>
    <row r="26" customFormat="false" ht="15" hidden="false" customHeight="false" outlineLevel="0" collapsed="false">
      <c r="A26" s="2" t="s">
        <v>69</v>
      </c>
      <c r="B26" s="2" t="s">
        <v>70</v>
      </c>
      <c r="C26" s="2" t="s">
        <v>71</v>
      </c>
      <c r="D26" s="2" t="s">
        <v>71</v>
      </c>
      <c r="E26" s="3" t="n">
        <v>69.29</v>
      </c>
      <c r="F26" s="3" t="n">
        <v>108.76</v>
      </c>
      <c r="G26" s="3" t="n">
        <v>39.47</v>
      </c>
      <c r="H26" s="2" t="n">
        <v>193</v>
      </c>
      <c r="I26" s="2" t="n">
        <v>11</v>
      </c>
      <c r="J26" s="2" t="s">
        <v>15</v>
      </c>
      <c r="K26" s="2" t="n">
        <v>11.81</v>
      </c>
      <c r="L26" s="2" t="s">
        <v>16</v>
      </c>
    </row>
    <row r="27" customFormat="false" ht="15" hidden="false" customHeight="false" outlineLevel="0" collapsed="false">
      <c r="A27" s="2" t="s">
        <v>72</v>
      </c>
      <c r="B27" s="2" t="s">
        <v>73</v>
      </c>
      <c r="C27" s="2" t="s">
        <v>71</v>
      </c>
      <c r="D27" s="2" t="s">
        <v>71</v>
      </c>
      <c r="E27" s="3" t="n">
        <v>44.79</v>
      </c>
      <c r="F27" s="3" t="n">
        <v>92.15</v>
      </c>
      <c r="G27" s="3" t="n">
        <v>47.36</v>
      </c>
      <c r="H27" s="2" t="n">
        <v>137</v>
      </c>
      <c r="I27" s="2" t="n">
        <v>14</v>
      </c>
      <c r="J27" s="2" t="s">
        <v>27</v>
      </c>
      <c r="K27" s="2" t="n">
        <v>17.21</v>
      </c>
      <c r="L27" s="2" t="s">
        <v>16</v>
      </c>
    </row>
    <row r="28" customFormat="false" ht="15" hidden="false" customHeight="false" outlineLevel="0" collapsed="false">
      <c r="A28" s="2" t="s">
        <v>74</v>
      </c>
      <c r="B28" s="2" t="s">
        <v>75</v>
      </c>
      <c r="C28" s="2" t="s">
        <v>71</v>
      </c>
      <c r="D28" s="2" t="s">
        <v>71</v>
      </c>
      <c r="E28" s="3" t="n">
        <v>261.94</v>
      </c>
      <c r="F28" s="3" t="n">
        <v>428.06</v>
      </c>
      <c r="G28" s="3" t="n">
        <v>166.12</v>
      </c>
      <c r="H28" s="2" t="n">
        <v>268</v>
      </c>
      <c r="I28" s="2" t="n">
        <v>23</v>
      </c>
      <c r="J28" s="2" t="s">
        <v>15</v>
      </c>
      <c r="K28" s="2" t="n">
        <v>14.49</v>
      </c>
      <c r="L28" s="2" t="s">
        <v>22</v>
      </c>
    </row>
    <row r="29" customFormat="false" ht="15" hidden="false" customHeight="false" outlineLevel="0" collapsed="false">
      <c r="A29" s="2" t="s">
        <v>76</v>
      </c>
      <c r="B29" s="2" t="s">
        <v>77</v>
      </c>
      <c r="C29" s="2" t="s">
        <v>71</v>
      </c>
      <c r="D29" s="2" t="s">
        <v>71</v>
      </c>
      <c r="E29" s="3" t="n">
        <v>129.07</v>
      </c>
      <c r="F29" s="3" t="n">
        <v>241.05</v>
      </c>
      <c r="G29" s="3" t="n">
        <v>111.98</v>
      </c>
      <c r="H29" s="2" t="n">
        <v>228</v>
      </c>
      <c r="I29" s="2" t="n">
        <v>22</v>
      </c>
      <c r="J29" s="2" t="s">
        <v>27</v>
      </c>
      <c r="K29" s="2" t="n">
        <v>2.03</v>
      </c>
      <c r="L29" s="2" t="s">
        <v>22</v>
      </c>
    </row>
    <row r="30" customFormat="false" ht="15" hidden="false" customHeight="false" outlineLevel="0" collapsed="false">
      <c r="A30" s="2" t="s">
        <v>78</v>
      </c>
      <c r="B30" s="2" t="s">
        <v>79</v>
      </c>
      <c r="C30" s="2" t="s">
        <v>71</v>
      </c>
      <c r="D30" s="2" t="s">
        <v>71</v>
      </c>
      <c r="E30" s="3" t="n">
        <v>183.61</v>
      </c>
      <c r="F30" s="3" t="n">
        <v>329.27</v>
      </c>
      <c r="G30" s="3" t="n">
        <v>145.66</v>
      </c>
      <c r="H30" s="2" t="n">
        <v>462</v>
      </c>
      <c r="I30" s="2" t="n">
        <v>13</v>
      </c>
      <c r="J30" s="2" t="s">
        <v>27</v>
      </c>
      <c r="K30" s="2" t="n">
        <v>1.31</v>
      </c>
      <c r="L30" s="2" t="s">
        <v>16</v>
      </c>
    </row>
    <row r="31" customFormat="false" ht="15" hidden="false" customHeight="false" outlineLevel="0" collapsed="false">
      <c r="A31" s="2" t="s">
        <v>80</v>
      </c>
      <c r="B31" s="2" t="s">
        <v>81</v>
      </c>
      <c r="C31" s="2" t="s">
        <v>71</v>
      </c>
      <c r="D31" s="2" t="s">
        <v>71</v>
      </c>
      <c r="E31" s="3" t="n">
        <v>402.29</v>
      </c>
      <c r="F31" s="3" t="n">
        <v>575.73</v>
      </c>
      <c r="G31" s="3" t="n">
        <v>173.44</v>
      </c>
      <c r="H31" s="2" t="n">
        <v>118</v>
      </c>
      <c r="I31" s="2" t="n">
        <v>22</v>
      </c>
      <c r="J31" s="2" t="s">
        <v>19</v>
      </c>
      <c r="K31" s="2" t="n">
        <v>2.89</v>
      </c>
      <c r="L31" s="2" t="s">
        <v>16</v>
      </c>
    </row>
    <row r="32" customFormat="false" ht="15" hidden="false" customHeight="false" outlineLevel="0" collapsed="false">
      <c r="A32" s="2" t="s">
        <v>82</v>
      </c>
      <c r="B32" s="2" t="s">
        <v>83</v>
      </c>
      <c r="C32" s="2" t="s">
        <v>71</v>
      </c>
      <c r="D32" s="2" t="s">
        <v>71</v>
      </c>
      <c r="E32" s="3" t="n">
        <v>146.49</v>
      </c>
      <c r="F32" s="3" t="n">
        <v>234.35</v>
      </c>
      <c r="G32" s="3" t="n">
        <v>87.86</v>
      </c>
      <c r="H32" s="2" t="n">
        <v>492</v>
      </c>
      <c r="I32" s="2" t="n">
        <v>14</v>
      </c>
      <c r="J32" s="2" t="s">
        <v>19</v>
      </c>
      <c r="K32" s="2" t="n">
        <v>16.18</v>
      </c>
      <c r="L32" s="2" t="s">
        <v>16</v>
      </c>
    </row>
    <row r="33" customFormat="false" ht="15" hidden="false" customHeight="false" outlineLevel="0" collapsed="false">
      <c r="A33" s="2" t="s">
        <v>84</v>
      </c>
      <c r="B33" s="2" t="s">
        <v>85</v>
      </c>
      <c r="C33" s="2" t="s">
        <v>86</v>
      </c>
      <c r="D33" s="2" t="s">
        <v>86</v>
      </c>
      <c r="E33" s="3" t="n">
        <v>34.79</v>
      </c>
      <c r="F33" s="3" t="n">
        <v>86.95</v>
      </c>
      <c r="G33" s="3" t="n">
        <v>52.16</v>
      </c>
      <c r="H33" s="2" t="n">
        <v>448</v>
      </c>
      <c r="I33" s="2" t="n">
        <v>10</v>
      </c>
      <c r="J33" s="2" t="s">
        <v>27</v>
      </c>
      <c r="K33" s="2" t="n">
        <v>18.53</v>
      </c>
      <c r="L33" s="2" t="s">
        <v>16</v>
      </c>
    </row>
    <row r="34" customFormat="false" ht="15" hidden="false" customHeight="false" outlineLevel="0" collapsed="false">
      <c r="A34" s="2" t="s">
        <v>87</v>
      </c>
      <c r="B34" s="2" t="s">
        <v>88</v>
      </c>
      <c r="C34" s="2" t="s">
        <v>86</v>
      </c>
      <c r="D34" s="2" t="s">
        <v>86</v>
      </c>
      <c r="E34" s="3" t="n">
        <v>91.49</v>
      </c>
      <c r="F34" s="3" t="n">
        <v>172.25</v>
      </c>
      <c r="G34" s="3" t="n">
        <v>80.76</v>
      </c>
      <c r="H34" s="2" t="n">
        <v>129</v>
      </c>
      <c r="I34" s="2" t="n">
        <v>35</v>
      </c>
      <c r="J34" s="2" t="s">
        <v>27</v>
      </c>
      <c r="K34" s="2" t="n">
        <v>3.38</v>
      </c>
      <c r="L34" s="2" t="s">
        <v>16</v>
      </c>
    </row>
    <row r="35" customFormat="false" ht="15" hidden="false" customHeight="false" outlineLevel="0" collapsed="false">
      <c r="A35" s="2" t="s">
        <v>89</v>
      </c>
      <c r="B35" s="2" t="s">
        <v>90</v>
      </c>
      <c r="C35" s="2" t="s">
        <v>86</v>
      </c>
      <c r="D35" s="2" t="s">
        <v>86</v>
      </c>
      <c r="E35" s="3" t="n">
        <v>492.8</v>
      </c>
      <c r="F35" s="3" t="n">
        <v>797.47</v>
      </c>
      <c r="G35" s="3" t="n">
        <v>304.67</v>
      </c>
      <c r="H35" s="2" t="n">
        <v>421</v>
      </c>
      <c r="I35" s="2" t="n">
        <v>39</v>
      </c>
      <c r="J35" s="2" t="s">
        <v>32</v>
      </c>
      <c r="K35" s="2" t="n">
        <v>8.52</v>
      </c>
      <c r="L35" s="2" t="s">
        <v>22</v>
      </c>
    </row>
    <row r="36" customFormat="false" ht="15" hidden="false" customHeight="false" outlineLevel="0" collapsed="false">
      <c r="A36" s="2" t="s">
        <v>91</v>
      </c>
      <c r="B36" s="2" t="s">
        <v>92</v>
      </c>
      <c r="C36" s="2" t="s">
        <v>86</v>
      </c>
      <c r="D36" s="2" t="s">
        <v>86</v>
      </c>
      <c r="E36" s="3" t="n">
        <v>85.85</v>
      </c>
      <c r="F36" s="3" t="n">
        <v>142.17</v>
      </c>
      <c r="G36" s="3" t="n">
        <v>56.32</v>
      </c>
      <c r="H36" s="2" t="n">
        <v>49</v>
      </c>
      <c r="I36" s="2" t="n">
        <v>47</v>
      </c>
      <c r="J36" s="2" t="s">
        <v>27</v>
      </c>
      <c r="K36" s="2" t="n">
        <v>14.98</v>
      </c>
      <c r="L36" s="2" t="s">
        <v>16</v>
      </c>
    </row>
    <row r="37" customFormat="false" ht="15" hidden="false" customHeight="false" outlineLevel="0" collapsed="false">
      <c r="A37" s="2" t="s">
        <v>93</v>
      </c>
      <c r="B37" s="2" t="s">
        <v>94</v>
      </c>
      <c r="C37" s="2" t="s">
        <v>86</v>
      </c>
      <c r="D37" s="2" t="s">
        <v>86</v>
      </c>
      <c r="E37" s="3" t="n">
        <v>34.57</v>
      </c>
      <c r="F37" s="3" t="n">
        <v>64.72</v>
      </c>
      <c r="G37" s="3" t="n">
        <v>30.15</v>
      </c>
      <c r="H37" s="2" t="n">
        <v>490</v>
      </c>
      <c r="I37" s="2" t="n">
        <v>43</v>
      </c>
      <c r="J37" s="2" t="s">
        <v>15</v>
      </c>
      <c r="K37" s="2" t="n">
        <v>1.23</v>
      </c>
      <c r="L37" s="2" t="s">
        <v>16</v>
      </c>
    </row>
    <row r="38" customFormat="false" ht="15" hidden="false" customHeight="false" outlineLevel="0" collapsed="false">
      <c r="A38" s="2" t="s">
        <v>95</v>
      </c>
      <c r="B38" s="2" t="s">
        <v>96</v>
      </c>
      <c r="C38" s="2" t="s">
        <v>86</v>
      </c>
      <c r="D38" s="2" t="s">
        <v>86</v>
      </c>
      <c r="E38" s="3" t="n">
        <v>427.16</v>
      </c>
      <c r="F38" s="3" t="n">
        <v>590.43</v>
      </c>
      <c r="G38" s="3" t="n">
        <v>163.27</v>
      </c>
      <c r="H38" s="2" t="n">
        <v>54</v>
      </c>
      <c r="I38" s="2" t="n">
        <v>25</v>
      </c>
      <c r="J38" s="2" t="s">
        <v>19</v>
      </c>
      <c r="K38" s="2" t="n">
        <v>2.49</v>
      </c>
      <c r="L38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2</v>
      </c>
      <c r="B1" s="1" t="s">
        <v>97</v>
      </c>
      <c r="C1" s="1" t="s">
        <v>98</v>
      </c>
      <c r="D1" s="1" t="s">
        <v>99</v>
      </c>
      <c r="E1" s="1" t="s">
        <v>100</v>
      </c>
    </row>
    <row r="2" customFormat="false" ht="15" hidden="false" customHeight="false" outlineLevel="0" collapsed="false">
      <c r="A2" s="2" t="s">
        <v>14</v>
      </c>
      <c r="B2" s="2" t="n">
        <f aca="false">COUNTIF(Products!C:C,"Electronics")</f>
        <v>8</v>
      </c>
      <c r="C2" s="2" t="n">
        <f aca="false">AVERAGEIF(Products!C:C,"Electronics",Products!F:F)</f>
        <v>297.18375</v>
      </c>
      <c r="D2" s="2" t="n">
        <f aca="false">SUMIF(Products!C:C,"Electronics",Products!H:H)</f>
        <v>1765</v>
      </c>
      <c r="E2" s="2" t="n">
        <v>1</v>
      </c>
    </row>
    <row r="3" customFormat="false" ht="15" hidden="false" customHeight="false" outlineLevel="0" collapsed="false">
      <c r="A3" s="2" t="s">
        <v>37</v>
      </c>
      <c r="B3" s="2" t="n">
        <f aca="false">COUNTIF(Products!C:C,"Clothing")</f>
        <v>8</v>
      </c>
      <c r="C3" s="2" t="n">
        <f aca="false">AVERAGEIF(Products!C:C,"Clothing",Products!F:F)</f>
        <v>428.65375</v>
      </c>
      <c r="D3" s="2" t="n">
        <f aca="false">SUMIF(Products!C:C,"Clothing",Products!H:H)</f>
        <v>2001</v>
      </c>
      <c r="E3" s="2" t="n">
        <v>0</v>
      </c>
    </row>
    <row r="4" customFormat="false" ht="15" hidden="false" customHeight="false" outlineLevel="0" collapsed="false">
      <c r="A4" s="2" t="s">
        <v>54</v>
      </c>
      <c r="B4" s="2" t="n">
        <f aca="false">COUNTIF(Products!C:C,"Home &amp; Garden")</f>
        <v>8</v>
      </c>
      <c r="C4" s="2" t="n">
        <f aca="false">AVERAGEIF(Products!C:C,"Home &amp; Garden",Products!F:F)</f>
        <v>510.40875</v>
      </c>
      <c r="D4" s="2" t="n">
        <f aca="false">SUMIF(Products!C:C,"Home &amp; Garden",Products!H:H)</f>
        <v>2382</v>
      </c>
      <c r="E4" s="2" t="n">
        <v>0</v>
      </c>
    </row>
    <row r="5" customFormat="false" ht="15" hidden="false" customHeight="false" outlineLevel="0" collapsed="false">
      <c r="A5" s="2" t="s">
        <v>71</v>
      </c>
      <c r="B5" s="2" t="n">
        <f aca="false">COUNTIF(Products!C:C,"Sports")</f>
        <v>7</v>
      </c>
      <c r="C5" s="2" t="n">
        <f aca="false">AVERAGEIF(Products!C:C,"Sports",Products!F:F)</f>
        <v>287.052857142857</v>
      </c>
      <c r="D5" s="2" t="n">
        <f aca="false">SUMIF(Products!C:C,"Sports",Products!H:H)</f>
        <v>1898</v>
      </c>
      <c r="E5" s="2" t="n">
        <v>0</v>
      </c>
    </row>
    <row r="6" customFormat="false" ht="15" hidden="false" customHeight="false" outlineLevel="0" collapsed="false">
      <c r="A6" s="2" t="s">
        <v>86</v>
      </c>
      <c r="B6" s="2" t="n">
        <f aca="false">COUNTIF(Products!C:C,"Food &amp; Grocery")</f>
        <v>6</v>
      </c>
      <c r="C6" s="2" t="n">
        <f aca="false">AVERAGEIF(Products!C:C,"Food &amp; Grocery",Products!F:F)</f>
        <v>308.998333333333</v>
      </c>
      <c r="D6" s="2" t="n">
        <f aca="false">SUMIF(Products!C:C,"Food &amp; Grocery",Products!H:H)</f>
        <v>1591</v>
      </c>
      <c r="E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2026-06-13T08:34:25Z</dcterms:created>
  <dc:creator>openpyxl</dc:creator>
  <dc:description/>
  <dc:language>en-US</dc:language>
  <cp:lastModifiedBy/>
  <dcterms:modified xsi:type="dcterms:W3CDTF">2026-06-13T08:34:25Z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